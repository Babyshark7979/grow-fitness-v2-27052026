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Việc Hôm Nay" sheetId="1" state="visible" r:id="rId3"/>
    <sheet name="📊 Theo Dõi Tuần" sheetId="2" state="visible" r:id="rId4"/>
    <sheet name="🎯 Mục Tiêu Tháng" sheetId="3" state="visible" r:id="rId5"/>
    <sheet name="⚙️ Tính Nă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<sst xmlns="http://schemas.openxmlformats.org/spreadsheetml/2006/main" count="232" uniqueCount="179">
  <si>
    <t xml:space="preserve">📋  VIỆC HÔM NAY — GROW FITNESS</t>
  </si>
  <si>
    <t xml:space="preserve">✏️  Điền vào cột TRẠNG THÁI: gõ 'x' hoặc 'X' khi làm xong, bỏ trống nếu chưa. Cột XONG? sẽ tự hiện ✅</t>
  </si>
  <si>
    <t xml:space="preserve">  Thứ Hai</t>
  </si>
  <si>
    <t xml:space="preserve">Dạy ca sáng</t>
  </si>
  <si>
    <t xml:space="preserve">06:00–09:00</t>
  </si>
  <si>
    <t xml:space="preserve">Check tin nhắn inbox, gửi thông tin gói phễu</t>
  </si>
  <si>
    <t xml:space="preserve">09:00–10:00</t>
  </si>
  <si>
    <t xml:space="preserve">Duyệt kịch bản tuần mới cùng Giang</t>
  </si>
  <si>
    <t xml:space="preserve">10:00–12:00</t>
  </si>
  <si>
    <t xml:space="preserve">Chuẩn bị trang phục + makeup cho buổi quay Thứ Ba</t>
  </si>
  <si>
    <t xml:space="preserve">12:00–14:00</t>
  </si>
  <si>
    <t xml:space="preserve">Rà soát danh sách học viên cũ — gửi tin chăm sóc</t>
  </si>
  <si>
    <t xml:space="preserve">14:00–17:00</t>
  </si>
  <si>
    <t xml:space="preserve">Dạy ca tối</t>
  </si>
  <si>
    <t xml:space="preserve">17:00–20:30</t>
  </si>
  <si>
    <t xml:space="preserve">  Thứ Ba</t>
  </si>
  <si>
    <t xml:space="preserve">🎬 QUAY VIDEO GỘP (2–4 video) cùng Giang — 3 bộ trang phục</t>
  </si>
  <si>
    <t xml:space="preserve">09:30–14:00</t>
  </si>
  <si>
    <t xml:space="preserve">Nghỉ ngơi / Hỗ trợ chốt lead nóng — đặt lịch Inbody</t>
  </si>
  <si>
    <t xml:space="preserve">  Thứ Tư</t>
  </si>
  <si>
    <t xml:space="preserve">Tư vấn inbox từ Ads — gọi điện hẹn lịch đo chỉ số</t>
  </si>
  <si>
    <t xml:space="preserve">09:00–12:00</t>
  </si>
  <si>
    <t xml:space="preserve">Kiểm tra tiến độ học viên cũ — lên giáo án đón khách</t>
  </si>
  <si>
    <t xml:space="preserve">12:00–17:00</t>
  </si>
  <si>
    <t xml:space="preserve">  Thứ Năm</t>
  </si>
  <si>
    <t xml:space="preserve">Tự quay 1–2 cảnh daily vlog bằng điện thoại</t>
  </si>
  <si>
    <t xml:space="preserve">09:00–11:00</t>
  </si>
  <si>
    <t xml:space="preserve">🤝 Đón tiếp &amp; hướng dẫn khách trải nghiệm gói phễu</t>
  </si>
  <si>
    <t xml:space="preserve">11:00–17:00</t>
  </si>
  <si>
    <t xml:space="preserve">  Thứ Sáu</t>
  </si>
  <si>
    <t xml:space="preserve">📝 LÀM CONTENT: Ý tưởng + kịch bản thô tuần tới</t>
  </si>
  <si>
    <t xml:space="preserve">Trực page — gọi điện chốt hẹn Inbody cuối tuần</t>
  </si>
  <si>
    <t xml:space="preserve">Dạy ca tối · Thiết kế ưu đãi chốt sale cuối tuần</t>
  </si>
  <si>
    <t xml:space="preserve">  Thứ Bảy</t>
  </si>
  <si>
    <t xml:space="preserve">✍️ HOÀN THIỆN CONTENT: Kịch bản chi tiết + chốt đồ quay</t>
  </si>
  <si>
    <t xml:space="preserve">09:00–13:00</t>
  </si>
  <si>
    <t xml:space="preserve">Đón tiếp Inbody — tư vấn chuyên sâu — chốt up-sell gói Core</t>
  </si>
  <si>
    <t xml:space="preserve">13:00–17:00</t>
  </si>
  <si>
    <t xml:space="preserve">  Chủ Nhật</t>
  </si>
  <si>
    <t xml:space="preserve">Nghỉ ngơi phục hồi năng lượng — không nhận việc mới</t>
  </si>
  <si>
    <t xml:space="preserve">09:00–20:00</t>
  </si>
  <si>
    <t xml:space="preserve">🏠 Họp review gia đình cùng Giang — xem số liệu tuần</t>
  </si>
  <si>
    <t xml:space="preserve">21:00–21:30</t>
  </si>
  <si>
    <t xml:space="preserve">📊  THEO DÕI KẾT QUẢ TUẦN — GROW FITNESS</t>
  </si>
  <si>
    <t xml:space="preserve">✏️  Mỗi Chủ Nhật tối Giang điền cột THỰC TẾ — máy tự tính % đạt và nhận xét</t>
  </si>
  <si>
    <t xml:space="preserve">Chỉ Số Đo Lường</t>
  </si>
  <si>
    <t xml:space="preserve">Mục Tiêu</t>
  </si>
  <si>
    <t xml:space="preserve">Thực Tế</t>
  </si>
  <si>
    <t xml:space="preserve">% Đạt</t>
  </si>
  <si>
    <t xml:space="preserve">Trạng Thái</t>
  </si>
  <si>
    <t xml:space="preserve">── VẬN HÀNH NỘI DUNG</t>
  </si>
  <si>
    <t xml:space="preserve">  🎬 Video Reels hoàn thành</t>
  </si>
  <si>
    <t xml:space="preserve">  📸 Tổng bài viết + Reels đăng</t>
  </si>
  <si>
    <t xml:space="preserve">  📱 Stories đăng</t>
  </si>
  <si>
    <t xml:space="preserve">  💬 Bình luận đã phản hồi</t>
  </si>
  <si>
    <t xml:space="preserve">── KINH DOANH</t>
  </si>
  <si>
    <t xml:space="preserve">  📬 Inbox khách hàng mới</t>
  </si>
  <si>
    <t xml:space="preserve">  📅 Khách trải nghiệm phễu</t>
  </si>
  <si>
    <t xml:space="preserve">  💰 Doanh thu Core (triệu đ)</t>
  </si>
  <si>
    <t xml:space="preserve">── QUẢNG CÁO</t>
  </si>
  <si>
    <t xml:space="preserve">  💸 Ngân sách Ads đã tiêu (triệu đ)</t>
  </si>
  <si>
    <t xml:space="preserve">  📉 CPL thực tế (nghìn đ/inbox)</t>
  </si>
  <si>
    <t xml:space="preserve">🏆  ĐIỂM VẬN HÀNH TUẦN</t>
  </si>
  <si>
    <t xml:space="preserve">🎯  MỤC TIÊU THÁNG — VÓC DÁNG HOÀNG KIM</t>
  </si>
  <si>
    <t xml:space="preserve">Chiến dịch Thu Hút Khách BĐS Vinhomes Ocean Park · Tháng 06/2026</t>
  </si>
  <si>
    <t xml:space="preserve">💰 Doanh Thu Target</t>
  </si>
  <si>
    <t xml:space="preserve">👥 Khách Core Cần Chốt</t>
  </si>
  <si>
    <t xml:space="preserve">📬 Inbox Cần Tạo Ra</t>
  </si>
  <si>
    <t xml:space="preserve">💸 Ngân Sách Ads</t>
  </si>
  <si>
    <t xml:space="preserve">150,000,000 đ</t>
  </si>
  <si>
    <t xml:space="preserve">50 khách</t>
  </si>
  <si>
    <t xml:space="preserve">250 inbox/tháng</t>
  </si>
  <si>
    <t xml:space="preserve">15,000,000 đ/tháng</t>
  </si>
  <si>
    <t xml:space="preserve">📅  LỘ TRÌNH 4 GIAI ĐOẠN</t>
  </si>
  <si>
    <t xml:space="preserve">Tuần 1–2</t>
  </si>
  <si>
    <t xml:space="preserve">Tuần 3</t>
  </si>
  <si>
    <t xml:space="preserve">Tuần 4</t>
  </si>
  <si>
    <t xml:space="preserve">Tuần 5+</t>
  </si>
  <si>
    <t xml:space="preserve">Quay video + Setup Ads</t>
  </si>
  <si>
    <t xml:space="preserve">Dội bom Ads mùa hè</t>
  </si>
  <si>
    <t xml:space="preserve">Đón khách &amp; Chốt sale</t>
  </si>
  <si>
    <t xml:space="preserve">Onboard HLV mới</t>
  </si>
  <si>
    <t xml:space="preserve">Quay 4–6 video gộp Thứ Ba. Chốt Editor freelance. Setup Landing page + form đăng ký.</t>
  </si>
  <si>
    <t xml:space="preserve">Chạy Ads 300–500k/ngày bán kính 5km quanh Ocean Park. Thu 30–50 data phễu.</t>
  </si>
  <si>
    <t xml:space="preserve">Liên đón tiếp nhóm khách đầu tiên. Tư vấn Inbody. Chốt up-sell gói 3–6 tháng.</t>
  </si>
  <si>
    <t xml:space="preserve">Dùng dòng tiền Tuần 4 trả lương HLV. Liên chuyển giao ca dạy, tập trung sale.</t>
  </si>
  <si>
    <t xml:space="preserve">🌀  PHỄU SẢN PHẨM</t>
  </si>
  <si>
    <t xml:space="preserve">⚡ Gói 7 Ngày</t>
  </si>
  <si>
    <t xml:space="preserve">⚡ Gói 21 Ngày</t>
  </si>
  <si>
    <t xml:space="preserve">👑 Gói 3 Tháng</t>
  </si>
  <si>
    <t xml:space="preserve">👑 Gói 6 Tháng</t>
  </si>
  <si>
    <t xml:space="preserve">KHAI PHÓNG CƠ THỂ</t>
  </si>
  <si>
    <t xml:space="preserve">ĐƯỜNG CONG VĂN PHÒNG</t>
  </si>
  <si>
    <t xml:space="preserve">VÓC DÁNG TRIỆU ĐÔ</t>
  </si>
  <si>
    <t xml:space="preserve">NỮ HOÀNG CHỐT DEAL</t>
  </si>
  <si>
    <t xml:space="preserve">Đánh thức cơ bắp, đo Inbody, lập bản đồ vóc dáng. Mục tiêu: gom data nhanh.</t>
  </si>
  <si>
    <t xml:space="preserve">Giải quyết mỡ bụng dưới, mông xệ, đau vai gáy dân BĐS ngồi nhiều.</t>
  </si>
  <si>
    <t xml:space="preserve">Đúc form dáng chuẩn công sở. Sơ mi trắng mặc gì cũng đẹp. Khách tự tìm đến.</t>
  </si>
  <si>
    <t xml:space="preserve">Từ 'chạy theo khách' sang 'khách VIP tự gọi tên'. Lột xác thương hiệu cá nhân.</t>
  </si>
  <si>
    <t xml:space="preserve">📐 SỐ THAM CHIẾU (dùng để link sheet khác)</t>
  </si>
  <si>
    <t xml:space="preserve">Doanh thu/tháng (đ)</t>
  </si>
  <si>
    <t xml:space="preserve">Khách Core/tháng</t>
  </si>
  <si>
    <t xml:space="preserve">Inbox/tháng</t>
  </si>
  <si>
    <t xml:space="preserve">Ngân sách Ads/tháng (đ)</t>
  </si>
  <si>
    <t xml:space="preserve">⚙️  BẢNG TÍNH NĂNG — GIANG CHỌN GIỮ HOẶC ẨN</t>
  </si>
  <si>
    <t xml:space="preserve">Hướng dẫn: Cột "Quyết Định" — nhấn vào ô rồi chọn từ danh sách thả xuống ▼</t>
  </si>
  <si>
    <t xml:space="preserve">#</t>
  </si>
  <si>
    <t xml:space="preserve">Tính Năng</t>
  </si>
  <si>
    <t xml:space="preserve">Mô Tả</t>
  </si>
  <si>
    <t xml:space="preserve">Ai Dùng</t>
  </si>
  <si>
    <t xml:space="preserve">Độ Phức Tạp</t>
  </si>
  <si>
    <t xml:space="preserve">Quyết Định ▼</t>
  </si>
  <si>
    <t xml:space="preserve">TAB 1 — 🎯 Chiến Lược &amp; KPI</t>
  </si>
  <si>
    <t xml:space="preserve">1.1</t>
  </si>
  <si>
    <t xml:space="preserve">4 ô số liệu lớn (150M · 50 khách · 250 inbox · 15M)</t>
  </si>
  <si>
    <t xml:space="preserve">Nhìn nhanh mục tiêu tháng</t>
  </si>
  <si>
    <t xml:space="preserve">Cả hai</t>
  </si>
  <si>
    <t xml:space="preserve">⭐ Rất đơn giản</t>
  </si>
  <si>
    <t xml:space="preserve">1.2</t>
  </si>
  <si>
    <t xml:space="preserve">4 gói sản phẩm (Phễu 7/21 ngày · Core 3/6 tháng)</t>
  </si>
  <si>
    <t xml:space="preserve">Tóm tắt offer</t>
  </si>
  <si>
    <t xml:space="preserve">1.3</t>
  </si>
  <si>
    <t xml:space="preserve">Insight 2 nhóm khách hàng (nỗi đau + khát vọng)</t>
  </si>
  <si>
    <t xml:space="preserve">Nhắc nhở khi viết content</t>
  </si>
  <si>
    <t xml:space="preserve">Liên</t>
  </si>
  <si>
    <t xml:space="preserve">1.4</t>
  </si>
  <si>
    <t xml:space="preserve">🔧 Máy tính ngược KPI — 5 thanh trượt</t>
  </si>
  <si>
    <t xml:space="preserve">Kéo để tính toán tài chính</t>
  </si>
  <si>
    <t xml:space="preserve">Giang</t>
  </si>
  <si>
    <t xml:space="preserve">⭐⭐⭐ Phức tạp</t>
  </si>
  <si>
    <t xml:space="preserve">1.5</t>
  </si>
  <si>
    <t xml:space="preserve">Lộ trình 4 giai đoạn (Tuần 1–2–3–4–5+)</t>
  </si>
  <si>
    <t xml:space="preserve">Nhắc nhở thứ tự làm</t>
  </si>
  <si>
    <t xml:space="preserve">TAB 2 — 👥 Đội Ngũ &amp; Lịch</t>
  </si>
  <si>
    <t xml:space="preserve">2.1</t>
  </si>
  <si>
    <t xml:space="preserve">3 thẻ vai trò (Giang · Liên · Trợ lý)</t>
  </si>
  <si>
    <t xml:space="preserve">Ai làm gì, trách nhiệm gì</t>
  </si>
  <si>
    <t xml:space="preserve">2.2</t>
  </si>
  <si>
    <t xml:space="preserve">Bảng lịch 7 ngày chi tiết</t>
  </si>
  <si>
    <t xml:space="preserve">Xem tổng quan cả tuần</t>
  </si>
  <si>
    <t xml:space="preserve">⭐⭐ Trung bình</t>
  </si>
  <si>
    <t xml:space="preserve">2.3</t>
  </si>
  <si>
    <t xml:space="preserve">✅ Danh sách việc theo ngày có tích ✓</t>
  </si>
  <si>
    <t xml:space="preserve">Tick từng việc xong trong ngày</t>
  </si>
  <si>
    <t xml:space="preserve">TAB 3 — 📱 Nội Dung &amp; Meta</t>
  </si>
  <si>
    <t xml:space="preserve">3.1</t>
  </si>
  <si>
    <t xml:space="preserve">3 tuyến nội dung + trang phục</t>
  </si>
  <si>
    <t xml:space="preserve">Nhắc Liên chuẩn bị quay</t>
  </si>
  <si>
    <t xml:space="preserve">3.2</t>
  </si>
  <si>
    <t xml:space="preserve">📊 Bộ đếm tiến độ Meta (Reels/Bài/Story/Comment)</t>
  </si>
  <si>
    <t xml:space="preserve">Nhập số để xem thanh tiến độ</t>
  </si>
  <si>
    <t xml:space="preserve">3.3</t>
  </si>
  <si>
    <t xml:space="preserve">3 kịch bản video chi tiết</t>
  </si>
  <si>
    <t xml:space="preserve">Đọc trước khi quay</t>
  </si>
  <si>
    <t xml:space="preserve">TAB 4 — ⚡ Phân Tích Quyết Định (DAR)</t>
  </si>
  <si>
    <t xml:space="preserve">4.1</t>
  </si>
  <si>
    <t xml:space="preserve">💰 Mô phỏng tài chính 5 thanh trượt</t>
  </si>
  <si>
    <t xml:space="preserve">Kéo budget/CPL xem doanh thu dự kiến</t>
  </si>
  <si>
    <t xml:space="preserve">4.2</t>
  </si>
  <si>
    <t xml:space="preserve">🧮 Ma trận quyết định chấm điểm</t>
  </si>
  <si>
    <t xml:space="preserve">Chấm điểm A/B/C, máy tự tính tổng</t>
  </si>
  <si>
    <t xml:space="preserve">4.3</t>
  </si>
  <si>
    <t xml:space="preserve">3 ô ghi chép quyết định</t>
  </si>
  <si>
    <t xml:space="preserve">Điền quyết định + giả định + dấu hiệu xem lại</t>
  </si>
  <si>
    <t xml:space="preserve">TAB 5 — 📊 Đo Lường Tuần</t>
  </si>
  <si>
    <t xml:space="preserve">5.1</t>
  </si>
  <si>
    <t xml:space="preserve">📝 Nhập 9 chỉ số thực tế</t>
  </si>
  <si>
    <t xml:space="preserve">Điền số → máy tính điểm tự động</t>
  </si>
  <si>
    <t xml:space="preserve">Giang (CN)</t>
  </si>
  <si>
    <t xml:space="preserve">5.2</t>
  </si>
  <si>
    <t xml:space="preserve">Ô điểm lớn + thanh tiến độ</t>
  </si>
  <si>
    <t xml:space="preserve">Nhìn thấy ngay điểm % vận hành tuần</t>
  </si>
  <si>
    <t xml:space="preserve">5.3</t>
  </si>
  <si>
    <t xml:space="preserve">Ma trận Tăng Tốc / Sửa Đổi / Loại Bỏ</t>
  </si>
  <si>
    <t xml:space="preserve">Nhắc nhở quyết định từ số liệu</t>
  </si>
  <si>
    <t xml:space="preserve">5.4</t>
  </si>
  <si>
    <t xml:space="preserve">📋 Nút Sao Chép Báo Cáo</t>
  </si>
  <si>
    <t xml:space="preserve">1 click → copy báo cáo paste cho Antigravity</t>
  </si>
  <si>
    <t xml:space="preserve">💡 GỢI Ý: Bản Liên chỉ cần 2.3 · 3.1 · 3.2 · 3.3  |  Bản Giang: tất cả 5 tab đầy đủ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</si>
</sst>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#,##0.0"/>
    <numFmt numFmtId="168" formatCode="0\%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7A607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D1C2A"/>
      <name val="Arial"/>
      <family val="0"/>
      <charset val="1"/>
    </font>
    <font>
      <i val="true"/>
      <sz val="9"/>
      <color rgb="FF9B7490"/>
      <name val="Arial"/>
      <family val="0"/>
      <charset val="1"/>
    </font>
    <font>
      <b val="true"/>
      <sz val="11"/>
      <color rgb="FFC0165E"/>
      <name val="Arial"/>
      <family val="0"/>
      <charset val="1"/>
    </font>
    <font>
      <sz val="12"/>
      <name val="Arial"/>
      <family val="0"/>
      <charset val="1"/>
    </font>
    <font>
      <b val="true"/>
      <sz val="10"/>
      <color rgb="FFC0165E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20"/>
      <color rgb="FFC0165E"/>
      <name val="Arial"/>
      <family val="0"/>
      <charset val="1"/>
    </font>
    <font>
      <b val="true"/>
      <sz val="10"/>
      <color rgb="FF2D1C2A"/>
      <name val="Arial"/>
      <family val="0"/>
      <charset val="1"/>
    </font>
    <font>
      <i val="true"/>
      <sz val="10"/>
      <color rgb="FF9B7490"/>
      <name val="Arial"/>
      <family val="0"/>
      <charset val="1"/>
    </font>
    <font>
      <b val="true"/>
      <sz val="9"/>
      <color rgb="FF9B7490"/>
      <name val="Arial"/>
      <family val="0"/>
      <charset val="1"/>
    </font>
    <font>
      <b val="true"/>
      <sz val="14"/>
      <color rgb="FFC0165E"/>
      <name val="Arial"/>
      <family val="0"/>
      <charset val="1"/>
    </font>
    <font>
      <b val="true"/>
      <sz val="14"/>
      <color rgb="FF8B5CF6"/>
      <name val="Arial"/>
      <family val="0"/>
      <charset val="1"/>
    </font>
    <font>
      <b val="true"/>
      <sz val="14"/>
      <color rgb="FF0EA5E9"/>
      <name val="Arial"/>
      <family val="0"/>
      <charset val="1"/>
    </font>
    <font>
      <b val="true"/>
      <sz val="14"/>
      <color rgb="FFF59E0B"/>
      <name val="Arial"/>
      <family val="0"/>
      <charset val="1"/>
    </font>
    <font>
      <b val="true"/>
      <sz val="9"/>
      <color rgb="FFC0165E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059669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11"/>
      <color rgb="FF059669"/>
      <name val="Arial"/>
      <family val="0"/>
      <charset val="1"/>
    </font>
    <font>
      <b val="true"/>
      <sz val="11"/>
      <color rgb="FF6B7280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8"/>
      <color rgb="FFC0165E"/>
      <name val="Arial"/>
      <family val="0"/>
      <charset val="1"/>
    </font>
    <font>
      <b val="true"/>
      <sz val="8"/>
      <color rgb="FFD97706"/>
      <name val="Arial"/>
      <family val="0"/>
      <charset val="1"/>
    </font>
    <font>
      <b val="true"/>
      <sz val="8"/>
      <color rgb="FF7C3AED"/>
      <name val="Arial"/>
      <family val="0"/>
      <charset val="1"/>
    </font>
    <font>
      <sz val="8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880E4F"/>
      <name val="Arial"/>
      <family val="0"/>
      <charset val="1"/>
    </font>
    <font>
      <b val="true"/>
      <sz val="10"/>
      <color rgb="FF0D47A1"/>
      <name val="Arial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C0165E"/>
        <bgColor rgb="FF9B2C5E"/>
      </patternFill>
    </fill>
    <fill>
      <patternFill patternType="solid">
        <fgColor rgb="FFD63384"/>
        <bgColor rgb="FFC0165E"/>
      </patternFill>
    </fill>
    <fill>
      <patternFill patternType="solid">
        <fgColor rgb="FFFCF0F6"/>
        <bgColor rgb="FFFAF5F9"/>
      </patternFill>
    </fill>
    <fill>
      <patternFill patternType="solid">
        <fgColor rgb="FFFFFFFF"/>
        <bgColor rgb="FFFFF5FA"/>
      </patternFill>
    </fill>
    <fill>
      <patternFill patternType="solid">
        <fgColor rgb="FFFAF5F9"/>
        <bgColor rgb="FFFFF5FA"/>
      </patternFill>
    </fill>
    <fill>
      <patternFill patternType="solid">
        <fgColor rgb="FFFDE8F2"/>
        <bgColor rgb="FFFFE8F2"/>
      </patternFill>
    </fill>
    <fill>
      <patternFill patternType="solid">
        <fgColor rgb="FF0F9B70"/>
        <bgColor rgb="FF059669"/>
      </patternFill>
    </fill>
    <fill>
      <patternFill patternType="solid">
        <fgColor rgb="FFF0FBF7"/>
        <bgColor rgb="FFE8FBF4"/>
      </patternFill>
    </fill>
    <fill>
      <patternFill patternType="solid">
        <fgColor rgb="FF9B2C5E"/>
        <bgColor rgb="FF880E4F"/>
      </patternFill>
    </fill>
    <fill>
      <patternFill patternType="solid">
        <fgColor rgb="FFF0F4FF"/>
        <bgColor rgb="FFF5F5F5"/>
      </patternFill>
    </fill>
    <fill>
      <patternFill patternType="solid">
        <fgColor rgb="FFFFF5FA"/>
        <bgColor rgb="FFFAF5F9"/>
      </patternFill>
    </fill>
    <fill>
      <patternFill patternType="solid">
        <fgColor rgb="FFFFF8E7"/>
        <bgColor rgb="FFFFF5FA"/>
      </patternFill>
    </fill>
    <fill>
      <patternFill patternType="solid">
        <fgColor rgb="FF8B5CF6"/>
        <bgColor rgb="FF7C3AED"/>
      </patternFill>
    </fill>
    <fill>
      <patternFill patternType="solid">
        <fgColor rgb="FF0EA5E9"/>
        <bgColor rgb="FF33CCCC"/>
      </patternFill>
    </fill>
    <fill>
      <patternFill patternType="solid">
        <fgColor rgb="FFF59E0B"/>
        <bgColor rgb="FFD97706"/>
      </patternFill>
    </fill>
    <fill>
      <patternFill patternType="solid">
        <fgColor rgb="FF1A1018"/>
        <bgColor rgb="FF1A0A2E"/>
      </patternFill>
    </fill>
    <fill>
      <patternFill patternType="solid">
        <fgColor rgb="FFFFE8F2"/>
        <bgColor rgb="FFFDE8F2"/>
      </patternFill>
    </fill>
    <fill>
      <patternFill patternType="solid">
        <fgColor rgb="FFFFF0D9"/>
        <bgColor rgb="FFFFF8E7"/>
      </patternFill>
    </fill>
    <fill>
      <patternFill patternType="solid">
        <fgColor rgb="FFE8FBF4"/>
        <bgColor rgb="FFF0FBF7"/>
      </patternFill>
    </fill>
    <fill>
      <patternFill patternType="solid">
        <fgColor rgb="FFF0F0F0"/>
        <bgColor rgb="FFF5F5F5"/>
      </patternFill>
    </fill>
    <fill>
      <patternFill patternType="solid">
        <fgColor rgb="FFFDE8FF"/>
        <bgColor rgb="FFFDE8F2"/>
      </patternFill>
    </fill>
    <fill>
      <patternFill patternType="solid">
        <fgColor rgb="FF0D47A1"/>
        <bgColor rgb="FF1565C0"/>
      </patternFill>
    </fill>
    <fill>
      <patternFill patternType="solid">
        <fgColor rgb="FF1565C0"/>
        <bgColor rgb="FF0D47A1"/>
      </patternFill>
    </fill>
    <fill>
      <patternFill patternType="solid">
        <fgColor rgb="FF1A0A2E"/>
        <bgColor rgb="FF1A1018"/>
      </patternFill>
    </fill>
    <fill>
      <patternFill patternType="solid">
        <fgColor rgb="FF37474F"/>
        <bgColor rgb="FF444444"/>
      </patternFill>
    </fill>
    <fill>
      <patternFill patternType="solid">
        <fgColor rgb="FF4A148C"/>
        <bgColor rgb="FF800080"/>
      </patternFill>
    </fill>
    <fill>
      <patternFill patternType="solid">
        <fgColor rgb="FFFFF9C4"/>
        <bgColor rgb="FFFFF0D9"/>
      </patternFill>
    </fill>
    <fill>
      <patternFill patternType="solid">
        <fgColor rgb="FFF5F5F5"/>
        <bgColor rgb="FFFAF5F9"/>
      </patternFill>
    </fill>
    <fill>
      <patternFill patternType="solid">
        <fgColor rgb="FF880E4F"/>
        <bgColor rgb="FF8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0D6DD"/>
      </left>
      <right style="thin">
        <color rgb="FFE0D6DD"/>
      </right>
      <top style="thin">
        <color rgb="FFE0D6DD"/>
      </top>
      <bottom style="thin">
        <color rgb="FFE0D6DD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2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4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3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8E7"/>
      <rgbColor rgb="FFD63384"/>
      <rgbColor rgb="FF00FFFF"/>
      <rgbColor rgb="FF800000"/>
      <rgbColor rgb="FF008000"/>
      <rgbColor rgb="FF1A0A2E"/>
      <rgbColor rgb="FF7A6070"/>
      <rgbColor rgb="FF880E4F"/>
      <rgbColor rgb="FF059669"/>
      <rgbColor rgb="FFCCCCCC"/>
      <rgbColor rgb="FF9B7490"/>
      <rgbColor rgb="FF8B5CF6"/>
      <rgbColor rgb="FF9B2C5E"/>
      <rgbColor rgb="FFFFF9C4"/>
      <rgbColor rgb="FFE8FBF4"/>
      <rgbColor rgb="FF4A148C"/>
      <rgbColor rgb="FFFFF5FA"/>
      <rgbColor rgb="FF1565C0"/>
      <rgbColor rgb="FFE0D6DD"/>
      <rgbColor rgb="FF000080"/>
      <rgbColor rgb="FFFF00FF"/>
      <rgbColor rgb="FFF5F5F5"/>
      <rgbColor rgb="FF00FFFF"/>
      <rgbColor rgb="FF800080"/>
      <rgbColor rgb="FF800000"/>
      <rgbColor rgb="FF1B5E20"/>
      <rgbColor rgb="FF0000FF"/>
      <rgbColor rgb="FF0EA5E9"/>
      <rgbColor rgb="FFF0FBF7"/>
      <rgbColor rgb="FFF0F0F0"/>
      <rgbColor rgb="FFFFF0D9"/>
      <rgbColor rgb="FFF0F4FF"/>
      <rgbColor rgb="FFFDE8F2"/>
      <rgbColor rgb="FFFDE8FF"/>
      <rgbColor rgb="FFFFE8F2"/>
      <rgbColor rgb="FF7C3AED"/>
      <rgbColor rgb="FF33CCCC"/>
      <rgbColor rgb="FF99CC00"/>
      <rgbColor rgb="FFFCF0F6"/>
      <rgbColor rgb="FFF59E0B"/>
      <rgbColor rgb="FFD97706"/>
      <rgbColor rgb="FF6B7280"/>
      <rgbColor rgb="FFFAF5F9"/>
      <rgbColor rgb="FF0D47A1"/>
      <rgbColor rgb="FF0F9B70"/>
      <rgbColor rgb="FF1A1018"/>
      <rgbColor rgb="FF2D1C2A"/>
      <rgbColor rgb="FF555555"/>
      <rgbColor rgb="FFC0165E"/>
      <rgbColor rgb="FF37474F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4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</row>
    <row r="4" customFormat="false" ht="21.75" hidden="false" customHeight="true" outlineLevel="0" collapsed="false">
      <c r="A4" s="5"/>
      <c r="B4" s="6" t="s">
        <v>3</v>
      </c>
      <c r="C4" s="7" t="s">
        <v>4</v>
      </c>
      <c r="D4" s="8"/>
      <c r="E4" s="9" t="str">
        <f aca="false">IF(OR(D4="x",D4="X"),"✅","")</f>
        <v/>
      </c>
    </row>
    <row r="5" customFormat="false" ht="21.75" hidden="false" customHeight="true" outlineLevel="0" collapsed="false">
      <c r="A5" s="5"/>
      <c r="B5" s="6" t="s">
        <v>5</v>
      </c>
      <c r="C5" s="7" t="s">
        <v>6</v>
      </c>
      <c r="D5" s="8"/>
      <c r="E5" s="9" t="str">
        <f aca="false">IF(OR(D5="x",D5="X"),"✅","")</f>
        <v/>
      </c>
    </row>
    <row r="6" customFormat="false" ht="21.75" hidden="false" customHeight="true" outlineLevel="0" collapsed="false">
      <c r="A6" s="5"/>
      <c r="B6" s="6" t="s">
        <v>7</v>
      </c>
      <c r="C6" s="7" t="s">
        <v>8</v>
      </c>
      <c r="D6" s="8"/>
      <c r="E6" s="9" t="str">
        <f aca="false">IF(OR(D6="x",D6="X"),"✅","")</f>
        <v/>
      </c>
    </row>
    <row r="7" customFormat="false" ht="21.75" hidden="false" customHeight="true" outlineLevel="0" collapsed="false">
      <c r="A7" s="5"/>
      <c r="B7" s="6" t="s">
        <v>9</v>
      </c>
      <c r="C7" s="7" t="s">
        <v>10</v>
      </c>
      <c r="D7" s="8"/>
      <c r="E7" s="9" t="str">
        <f aca="false">IF(OR(D7="x",D7="X"),"✅","")</f>
        <v/>
      </c>
    </row>
    <row r="8" customFormat="false" ht="21.75" hidden="false" customHeight="true" outlineLevel="0" collapsed="false">
      <c r="A8" s="5"/>
      <c r="B8" s="6" t="s">
        <v>11</v>
      </c>
      <c r="C8" s="7" t="s">
        <v>12</v>
      </c>
      <c r="D8" s="8"/>
      <c r="E8" s="9" t="str">
        <f aca="false">IF(OR(D8="x",D8="X"),"✅","")</f>
        <v/>
      </c>
    </row>
    <row r="9" customFormat="false" ht="21.75" hidden="false" customHeight="true" outlineLevel="0" collapsed="false">
      <c r="A9" s="5"/>
      <c r="B9" s="6" t="s">
        <v>13</v>
      </c>
      <c r="C9" s="7" t="s">
        <v>14</v>
      </c>
      <c r="D9" s="8"/>
      <c r="E9" s="9" t="str">
        <f aca="false">IF(OR(D9="x",D9="X"),"✅","")</f>
        <v/>
      </c>
    </row>
    <row r="10" customFormat="false" ht="15" hidden="false" customHeight="true" outlineLevel="0" collapsed="false">
      <c r="A10" s="10"/>
      <c r="B10" s="10"/>
      <c r="C10" s="10"/>
      <c r="D10" s="10"/>
      <c r="E10" s="10"/>
    </row>
    <row r="11" customFormat="false" ht="21.75" hidden="false" customHeight="true" outlineLevel="0" collapsed="false">
      <c r="A11" s="11" t="s">
        <v>15</v>
      </c>
      <c r="B11" s="11"/>
      <c r="C11" s="11"/>
      <c r="D11" s="11"/>
      <c r="E11" s="11"/>
    </row>
    <row r="12" customFormat="false" ht="21.75" hidden="false" customHeight="true" outlineLevel="0" collapsed="false">
      <c r="A12" s="12"/>
      <c r="B12" s="13" t="s">
        <v>3</v>
      </c>
      <c r="C12" s="14" t="s">
        <v>4</v>
      </c>
      <c r="D12" s="8"/>
      <c r="E12" s="15" t="str">
        <f aca="false">IF(OR(D12="x",D12="X"),"✅","")</f>
        <v/>
      </c>
    </row>
    <row r="13" customFormat="false" ht="21.75" hidden="false" customHeight="true" outlineLevel="0" collapsed="false">
      <c r="A13" s="12"/>
      <c r="B13" s="13" t="s">
        <v>16</v>
      </c>
      <c r="C13" s="14" t="s">
        <v>17</v>
      </c>
      <c r="D13" s="8"/>
      <c r="E13" s="15" t="str">
        <f aca="false">IF(OR(D13="x",D13="X"),"✅","")</f>
        <v/>
      </c>
    </row>
    <row r="14" customFormat="false" ht="21.75" hidden="false" customHeight="true" outlineLevel="0" collapsed="false">
      <c r="A14" s="12"/>
      <c r="B14" s="13" t="s">
        <v>18</v>
      </c>
      <c r="C14" s="14" t="s">
        <v>12</v>
      </c>
      <c r="D14" s="8"/>
      <c r="E14" s="15" t="str">
        <f aca="false">IF(OR(D14="x",D14="X"),"✅","")</f>
        <v/>
      </c>
    </row>
    <row r="15" customFormat="false" ht="21.75" hidden="false" customHeight="true" outlineLevel="0" collapsed="false">
      <c r="A15" s="12"/>
      <c r="B15" s="13" t="s">
        <v>13</v>
      </c>
      <c r="C15" s="14" t="s">
        <v>14</v>
      </c>
      <c r="D15" s="8"/>
      <c r="E15" s="15" t="str">
        <f aca="false">IF(OR(D15="x",D15="X"),"✅","")</f>
        <v/>
      </c>
    </row>
    <row r="16" customFormat="false" ht="15" hidden="false" customHeight="true" outlineLevel="0" collapsed="false">
      <c r="A16" s="10"/>
      <c r="B16" s="10"/>
      <c r="C16" s="10"/>
      <c r="D16" s="10"/>
      <c r="E16" s="10"/>
    </row>
    <row r="17" customFormat="false" ht="21.75" hidden="false" customHeight="true" outlineLevel="0" collapsed="false">
      <c r="A17" s="4" t="s">
        <v>19</v>
      </c>
      <c r="B17" s="4"/>
      <c r="C17" s="4"/>
      <c r="D17" s="4"/>
      <c r="E17" s="4"/>
    </row>
    <row r="18" customFormat="false" ht="21.75" hidden="false" customHeight="true" outlineLevel="0" collapsed="false">
      <c r="A18" s="5"/>
      <c r="B18" s="6" t="s">
        <v>3</v>
      </c>
      <c r="C18" s="7" t="s">
        <v>4</v>
      </c>
      <c r="D18" s="8"/>
      <c r="E18" s="9" t="str">
        <f aca="false">IF(OR(D18="x",D18="X"),"✅","")</f>
        <v/>
      </c>
    </row>
    <row r="19" customFormat="false" ht="21.75" hidden="false" customHeight="true" outlineLevel="0" collapsed="false">
      <c r="A19" s="5"/>
      <c r="B19" s="6" t="s">
        <v>20</v>
      </c>
      <c r="C19" s="7" t="s">
        <v>21</v>
      </c>
      <c r="D19" s="8"/>
      <c r="E19" s="9" t="str">
        <f aca="false">IF(OR(D19="x",D19="X"),"✅","")</f>
        <v/>
      </c>
    </row>
    <row r="20" customFormat="false" ht="21.75" hidden="false" customHeight="true" outlineLevel="0" collapsed="false">
      <c r="A20" s="5"/>
      <c r="B20" s="6" t="s">
        <v>22</v>
      </c>
      <c r="C20" s="7" t="s">
        <v>23</v>
      </c>
      <c r="D20" s="8"/>
      <c r="E20" s="9" t="str">
        <f aca="false">IF(OR(D20="x",D20="X"),"✅","")</f>
        <v/>
      </c>
    </row>
    <row r="21" customFormat="false" ht="21.75" hidden="false" customHeight="true" outlineLevel="0" collapsed="false">
      <c r="A21" s="5"/>
      <c r="B21" s="6" t="s">
        <v>13</v>
      </c>
      <c r="C21" s="7" t="s">
        <v>14</v>
      </c>
      <c r="D21" s="8"/>
      <c r="E21" s="9" t="str">
        <f aca="false">IF(OR(D21="x",D21="X"),"✅","")</f>
        <v/>
      </c>
    </row>
    <row r="22" customFormat="false" ht="15" hidden="false" customHeight="true" outlineLevel="0" collapsed="false">
      <c r="A22" s="10"/>
      <c r="B22" s="10"/>
      <c r="C22" s="10"/>
      <c r="D22" s="10"/>
      <c r="E22" s="10"/>
    </row>
    <row r="23" customFormat="false" ht="21.75" hidden="false" customHeight="true" outlineLevel="0" collapsed="false">
      <c r="A23" s="11" t="s">
        <v>24</v>
      </c>
      <c r="B23" s="11"/>
      <c r="C23" s="11"/>
      <c r="D23" s="11"/>
      <c r="E23" s="11"/>
    </row>
    <row r="24" customFormat="false" ht="21.75" hidden="false" customHeight="true" outlineLevel="0" collapsed="false">
      <c r="A24" s="12"/>
      <c r="B24" s="13" t="s">
        <v>3</v>
      </c>
      <c r="C24" s="14" t="s">
        <v>4</v>
      </c>
      <c r="D24" s="8"/>
      <c r="E24" s="15" t="str">
        <f aca="false">IF(OR(D24="x",D24="X"),"✅","")</f>
        <v/>
      </c>
    </row>
    <row r="25" customFormat="false" ht="21.75" hidden="false" customHeight="true" outlineLevel="0" collapsed="false">
      <c r="A25" s="12"/>
      <c r="B25" s="13" t="s">
        <v>25</v>
      </c>
      <c r="C25" s="14" t="s">
        <v>26</v>
      </c>
      <c r="D25" s="8"/>
      <c r="E25" s="15" t="str">
        <f aca="false">IF(OR(D25="x",D25="X"),"✅","")</f>
        <v/>
      </c>
    </row>
    <row r="26" customFormat="false" ht="21.75" hidden="false" customHeight="true" outlineLevel="0" collapsed="false">
      <c r="A26" s="12"/>
      <c r="B26" s="13" t="s">
        <v>27</v>
      </c>
      <c r="C26" s="14" t="s">
        <v>28</v>
      </c>
      <c r="D26" s="8"/>
      <c r="E26" s="15" t="str">
        <f aca="false">IF(OR(D26="x",D26="X"),"✅","")</f>
        <v/>
      </c>
    </row>
    <row r="27" customFormat="false" ht="21.75" hidden="false" customHeight="true" outlineLevel="0" collapsed="false">
      <c r="A27" s="12"/>
      <c r="B27" s="13" t="s">
        <v>13</v>
      </c>
      <c r="C27" s="14" t="s">
        <v>14</v>
      </c>
      <c r="D27" s="8"/>
      <c r="E27" s="15" t="str">
        <f aca="false">IF(OR(D27="x",D27="X"),"✅","")</f>
        <v/>
      </c>
    </row>
    <row r="28" customFormat="false" ht="15" hidden="false" customHeight="true" outlineLevel="0" collapsed="false">
      <c r="A28" s="10"/>
      <c r="B28" s="10"/>
      <c r="C28" s="10"/>
      <c r="D28" s="10"/>
      <c r="E28" s="10"/>
    </row>
    <row r="29" customFormat="false" ht="21.75" hidden="false" customHeight="true" outlineLevel="0" collapsed="false">
      <c r="A29" s="4" t="s">
        <v>29</v>
      </c>
      <c r="B29" s="4"/>
      <c r="C29" s="4"/>
      <c r="D29" s="4"/>
      <c r="E29" s="4"/>
    </row>
    <row r="30" customFormat="false" ht="21.75" hidden="false" customHeight="true" outlineLevel="0" collapsed="false">
      <c r="A30" s="5"/>
      <c r="B30" s="6" t="s">
        <v>3</v>
      </c>
      <c r="C30" s="7" t="s">
        <v>4</v>
      </c>
      <c r="D30" s="8"/>
      <c r="E30" s="9" t="str">
        <f aca="false">IF(OR(D30="x",D30="X"),"✅","")</f>
        <v/>
      </c>
    </row>
    <row r="31" customFormat="false" ht="21.75" hidden="false" customHeight="true" outlineLevel="0" collapsed="false">
      <c r="A31" s="5"/>
      <c r="B31" s="6" t="s">
        <v>30</v>
      </c>
      <c r="C31" s="7" t="s">
        <v>21</v>
      </c>
      <c r="D31" s="8"/>
      <c r="E31" s="9" t="str">
        <f aca="false">IF(OR(D31="x",D31="X"),"✅","")</f>
        <v/>
      </c>
    </row>
    <row r="32" customFormat="false" ht="21.75" hidden="false" customHeight="true" outlineLevel="0" collapsed="false">
      <c r="A32" s="5"/>
      <c r="B32" s="6" t="s">
        <v>31</v>
      </c>
      <c r="C32" s="7" t="s">
        <v>23</v>
      </c>
      <c r="D32" s="8"/>
      <c r="E32" s="9" t="str">
        <f aca="false">IF(OR(D32="x",D32="X"),"✅","")</f>
        <v/>
      </c>
    </row>
    <row r="33" customFormat="false" ht="21.75" hidden="false" customHeight="true" outlineLevel="0" collapsed="false">
      <c r="A33" s="5"/>
      <c r="B33" s="6" t="s">
        <v>32</v>
      </c>
      <c r="C33" s="7" t="s">
        <v>14</v>
      </c>
      <c r="D33" s="8"/>
      <c r="E33" s="9" t="str">
        <f aca="false">IF(OR(D33="x",D33="X"),"✅","")</f>
        <v/>
      </c>
    </row>
    <row r="34" customFormat="false" ht="15" hidden="false" customHeight="true" outlineLevel="0" collapsed="false">
      <c r="A34" s="10"/>
      <c r="B34" s="10"/>
      <c r="C34" s="10"/>
      <c r="D34" s="10"/>
      <c r="E34" s="10"/>
    </row>
    <row r="35" customFormat="false" ht="21.75" hidden="false" customHeight="true" outlineLevel="0" collapsed="false">
      <c r="A35" s="11" t="s">
        <v>33</v>
      </c>
      <c r="B35" s="11"/>
      <c r="C35" s="11"/>
      <c r="D35" s="11"/>
      <c r="E35" s="11"/>
    </row>
    <row r="36" customFormat="false" ht="21.75" hidden="false" customHeight="true" outlineLevel="0" collapsed="false">
      <c r="A36" s="12"/>
      <c r="B36" s="13" t="s">
        <v>3</v>
      </c>
      <c r="C36" s="14" t="s">
        <v>4</v>
      </c>
      <c r="D36" s="8"/>
      <c r="E36" s="15" t="str">
        <f aca="false">IF(OR(D36="x",D36="X"),"✅","")</f>
        <v/>
      </c>
    </row>
    <row r="37" customFormat="false" ht="21.75" hidden="false" customHeight="true" outlineLevel="0" collapsed="false">
      <c r="A37" s="12"/>
      <c r="B37" s="13" t="s">
        <v>34</v>
      </c>
      <c r="C37" s="14" t="s">
        <v>35</v>
      </c>
      <c r="D37" s="8"/>
      <c r="E37" s="15" t="str">
        <f aca="false">IF(OR(D37="x",D37="X"),"✅","")</f>
        <v/>
      </c>
    </row>
    <row r="38" customFormat="false" ht="21.75" hidden="false" customHeight="true" outlineLevel="0" collapsed="false">
      <c r="A38" s="12"/>
      <c r="B38" s="13" t="s">
        <v>36</v>
      </c>
      <c r="C38" s="14" t="s">
        <v>37</v>
      </c>
      <c r="D38" s="8"/>
      <c r="E38" s="15" t="str">
        <f aca="false">IF(OR(D38="x",D38="X"),"✅","")</f>
        <v/>
      </c>
    </row>
    <row r="39" customFormat="false" ht="21.75" hidden="false" customHeight="true" outlineLevel="0" collapsed="false">
      <c r="A39" s="12"/>
      <c r="B39" s="13" t="s">
        <v>13</v>
      </c>
      <c r="C39" s="14" t="s">
        <v>14</v>
      </c>
      <c r="D39" s="8"/>
      <c r="E39" s="15" t="str">
        <f aca="false">IF(OR(D39="x",D39="X"),"✅","")</f>
        <v/>
      </c>
    </row>
    <row r="40" customFormat="false" ht="15" hidden="false" customHeight="true" outlineLevel="0" collapsed="false">
      <c r="A40" s="10"/>
      <c r="B40" s="10"/>
      <c r="C40" s="10"/>
      <c r="D40" s="10"/>
      <c r="E40" s="10"/>
    </row>
    <row r="41" customFormat="false" ht="21.75" hidden="false" customHeight="true" outlineLevel="0" collapsed="false">
      <c r="A41" s="16" t="s">
        <v>38</v>
      </c>
      <c r="B41" s="16"/>
      <c r="C41" s="16"/>
      <c r="D41" s="16"/>
      <c r="E41" s="16"/>
    </row>
    <row r="42" customFormat="false" ht="21.75" hidden="false" customHeight="true" outlineLevel="0" collapsed="false">
      <c r="A42" s="17"/>
      <c r="B42" s="18" t="s">
        <v>3</v>
      </c>
      <c r="C42" s="19" t="s">
        <v>4</v>
      </c>
      <c r="D42" s="8"/>
      <c r="E42" s="20" t="str">
        <f aca="false">IF(OR(D42="x",D42="X"),"✅","")</f>
        <v/>
      </c>
    </row>
    <row r="43" customFormat="false" ht="21.75" hidden="false" customHeight="true" outlineLevel="0" collapsed="false">
      <c r="A43" s="17"/>
      <c r="B43" s="18" t="s">
        <v>39</v>
      </c>
      <c r="C43" s="19" t="s">
        <v>40</v>
      </c>
      <c r="D43" s="8"/>
      <c r="E43" s="20" t="str">
        <f aca="false">IF(OR(D43="x",D43="X"),"✅","")</f>
        <v/>
      </c>
    </row>
    <row r="44" customFormat="false" ht="21.75" hidden="false" customHeight="true" outlineLevel="0" collapsed="false">
      <c r="A44" s="17"/>
      <c r="B44" s="18" t="s">
        <v>41</v>
      </c>
      <c r="C44" s="19" t="s">
        <v>42</v>
      </c>
      <c r="D44" s="8"/>
      <c r="E44" s="20" t="str">
        <f aca="false">IF(OR(D44="x",D44="X"),"✅","")</f>
        <v/>
      </c>
    </row>
    <row r="45" customFormat="false" ht="15" hidden="false" customHeight="true" outlineLevel="0" collapsed="false">
      <c r="A45" s="10"/>
      <c r="B45" s="10"/>
      <c r="C45" s="10"/>
      <c r="D45" s="10"/>
      <c r="E45" s="10"/>
    </row>
  </sheetData>
  <mergeCells count="9">
    <mergeCell ref="A1:E1"/>
    <mergeCell ref="A2:E2"/>
    <mergeCell ref="A3:E3"/>
    <mergeCell ref="A11:E11"/>
    <mergeCell ref="A17:E17"/>
    <mergeCell ref="A23:E23"/>
    <mergeCell ref="A29:E29"/>
    <mergeCell ref="A35:E35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  <col collapsed="false" customWidth="true" hidden="false" outlineLevel="0" max="5" min="5" style="1" width="22"/>
    <col collapsed="false" customWidth="true" hidden="false" outlineLevel="0" max="6" min="6" style="1" width="4"/>
  </cols>
  <sheetData>
    <row r="1" customFormat="false" ht="49.5" hidden="false" customHeight="true" outlineLevel="0" collapsed="false">
      <c r="A1" s="2" t="s">
        <v>43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44</v>
      </c>
      <c r="B2" s="3"/>
      <c r="C2" s="3"/>
      <c r="D2" s="3"/>
      <c r="E2" s="3"/>
      <c r="F2" s="3"/>
    </row>
    <row r="3" customFormat="false" ht="27.75" hidden="false" customHeight="true" outlineLevel="0" collapsed="false">
      <c r="A3" s="21" t="s">
        <v>45</v>
      </c>
      <c r="B3" s="21" t="s">
        <v>46</v>
      </c>
      <c r="C3" s="22" t="s">
        <v>47</v>
      </c>
      <c r="D3" s="22" t="s">
        <v>48</v>
      </c>
      <c r="E3" s="22" t="s">
        <v>49</v>
      </c>
      <c r="F3" s="21"/>
    </row>
    <row r="4" customFormat="false" ht="24" hidden="false" customHeight="true" outlineLevel="0" collapsed="false">
      <c r="A4" s="23" t="s">
        <v>50</v>
      </c>
      <c r="B4" s="23"/>
      <c r="C4" s="23"/>
      <c r="D4" s="23"/>
      <c r="E4" s="23"/>
      <c r="F4" s="23"/>
    </row>
    <row r="5" customFormat="false" ht="24" hidden="false" customHeight="true" outlineLevel="0" collapsed="false">
      <c r="A5" s="24" t="s">
        <v>51</v>
      </c>
      <c r="B5" s="25" t="n">
        <v>3</v>
      </c>
      <c r="C5" s="26"/>
      <c r="D5" s="27" t="n">
        <f aca="false">IFERROR(C5/B5,0)</f>
        <v>0</v>
      </c>
      <c r="E5" s="28" t="str">
        <f aca="false">IF(C5="","—",IF(D5&gt;=1,"✅ Đạt mục tiêu",IF(D5&gt;=0.7,"⚡ Gần đạt","⚠️ Cần tăng tốc")))</f>
        <v>—</v>
      </c>
    </row>
    <row r="6" customFormat="false" ht="24" hidden="false" customHeight="true" outlineLevel="0" collapsed="false">
      <c r="A6" s="24" t="s">
        <v>52</v>
      </c>
      <c r="B6" s="25" t="n">
        <v>22</v>
      </c>
      <c r="C6" s="26"/>
      <c r="D6" s="27" t="n">
        <f aca="false">IFERROR(C6/B6,0)</f>
        <v>0</v>
      </c>
      <c r="E6" s="28" t="str">
        <f aca="false">IF(C6="","—",IF(D6&gt;=1,"✅ Đạt mục tiêu",IF(D6&gt;=0.7,"⚡ Gần đạt","⚠️ Cần tăng tốc")))</f>
        <v>—</v>
      </c>
    </row>
    <row r="7" customFormat="false" ht="24" hidden="false" customHeight="true" outlineLevel="0" collapsed="false">
      <c r="A7" s="24" t="s">
        <v>53</v>
      </c>
      <c r="B7" s="25" t="n">
        <v>7</v>
      </c>
      <c r="C7" s="26"/>
      <c r="D7" s="27" t="n">
        <f aca="false">IFERROR(C7/B7,0)</f>
        <v>0</v>
      </c>
      <c r="E7" s="28" t="str">
        <f aca="false">IF(C7="","—",IF(D7&gt;=1,"✅ Đạt mục tiêu",IF(D7&gt;=0.7,"⚡ Gần đạt","⚠️ Cần tăng tốc")))</f>
        <v>—</v>
      </c>
    </row>
    <row r="8" customFormat="false" ht="24" hidden="false" customHeight="true" outlineLevel="0" collapsed="false">
      <c r="A8" s="24" t="s">
        <v>54</v>
      </c>
      <c r="B8" s="25" t="n">
        <v>14</v>
      </c>
      <c r="C8" s="26"/>
      <c r="D8" s="27" t="n">
        <f aca="false">IFERROR(C8/B8,0)</f>
        <v>0</v>
      </c>
      <c r="E8" s="28" t="str">
        <f aca="false">IF(C8="","—",IF(D8&gt;=1,"✅ Đạt mục tiêu",IF(D8&gt;=0.7,"⚡ Gần đạt","⚠️ Cần tăng tốc")))</f>
        <v>—</v>
      </c>
    </row>
    <row r="9" customFormat="false" ht="24" hidden="false" customHeight="true" outlineLevel="0" collapsed="false">
      <c r="A9" s="23" t="s">
        <v>55</v>
      </c>
      <c r="B9" s="23"/>
      <c r="C9" s="23"/>
      <c r="D9" s="23"/>
      <c r="E9" s="23"/>
      <c r="F9" s="23"/>
    </row>
    <row r="10" customFormat="false" ht="24" hidden="false" customHeight="true" outlineLevel="0" collapsed="false">
      <c r="A10" s="24" t="s">
        <v>56</v>
      </c>
      <c r="B10" s="29" t="n">
        <f aca="false">'🎯 Mục Tiêu Tháng'!C22/4</f>
        <v>62.5</v>
      </c>
      <c r="C10" s="26"/>
      <c r="D10" s="27" t="n">
        <f aca="false">IFERROR(C10/B10,0)</f>
        <v>0</v>
      </c>
      <c r="E10" s="28" t="str">
        <f aca="false">IF(C10="","—",IF(D10&gt;=1,"✅ Đạt mục tiêu",IF(D10&gt;=0.7,"⚡ Gần đạt","⚠️ Cần tăng tốc")))</f>
        <v>—</v>
      </c>
    </row>
    <row r="11" customFormat="false" ht="24" hidden="false" customHeight="true" outlineLevel="0" collapsed="false">
      <c r="A11" s="24" t="s">
        <v>57</v>
      </c>
      <c r="B11" s="29" t="n">
        <f aca="false">ROUND('🎯 Mục Tiêu Tháng'!B22/4*1.2,0)</f>
        <v>15</v>
      </c>
      <c r="C11" s="26"/>
      <c r="D11" s="27" t="n">
        <f aca="false">IFERROR(C11/B11,0)</f>
        <v>0</v>
      </c>
      <c r="E11" s="28" t="str">
        <f aca="false">IF(C11="","—",IF(D11&gt;=1,"✅ Đạt mục tiêu",IF(D11&gt;=0.7,"⚡ Gần đạt","⚠️ Cần tăng tốc")))</f>
        <v>—</v>
      </c>
    </row>
    <row r="12" customFormat="false" ht="24" hidden="false" customHeight="true" outlineLevel="0" collapsed="false">
      <c r="A12" s="24" t="s">
        <v>58</v>
      </c>
      <c r="B12" s="30" t="n">
        <f aca="false">ROUND('🎯 Mục Tiêu Tháng'!A22/4/1000000,1)</f>
        <v>37.5</v>
      </c>
      <c r="C12" s="26"/>
      <c r="D12" s="27" t="n">
        <f aca="false">IFERROR(C12/B12,0)</f>
        <v>0</v>
      </c>
      <c r="E12" s="28" t="str">
        <f aca="false">IF(C12="","—",IF(D12&gt;=1,"✅ Đạt mục tiêu",IF(D12&gt;=0.7,"⚡ Gần đạt","⚠️ Cần tăng tốc")))</f>
        <v>—</v>
      </c>
    </row>
    <row r="13" customFormat="false" ht="24" hidden="false" customHeight="true" outlineLevel="0" collapsed="false">
      <c r="A13" s="23" t="s">
        <v>59</v>
      </c>
      <c r="B13" s="23"/>
      <c r="C13" s="23"/>
      <c r="D13" s="23"/>
      <c r="E13" s="23"/>
      <c r="F13" s="23"/>
    </row>
    <row r="14" customFormat="false" ht="24" hidden="false" customHeight="true" outlineLevel="0" collapsed="false">
      <c r="A14" s="24" t="s">
        <v>60</v>
      </c>
      <c r="B14" s="30" t="n">
        <f aca="false">ROUND('🎯 Mục Tiêu Tháng'!D22/4/1000000,1)</f>
        <v>3.8</v>
      </c>
      <c r="C14" s="26"/>
      <c r="D14" s="27" t="n">
        <f aca="false">IFERROR(C14/B14,0)</f>
        <v>0</v>
      </c>
      <c r="E14" s="28" t="str">
        <f aca="false">IF(C14="","—",IF(D14&gt;=1,"✅ Đạt mục tiêu",IF(D14&gt;=0.7,"⚡ Gần đạt","⚠️ Cần tăng tốc")))</f>
        <v>—</v>
      </c>
    </row>
    <row r="15" customFormat="false" ht="24" hidden="false" customHeight="true" outlineLevel="0" collapsed="false">
      <c r="A15" s="24" t="s">
        <v>61</v>
      </c>
      <c r="B15" s="25" t="n">
        <v>80</v>
      </c>
      <c r="C15" s="26"/>
      <c r="D15" s="27" t="n">
        <f aca="false">IFERROR(C15/B15,0)</f>
        <v>0</v>
      </c>
      <c r="E15" s="28" t="str">
        <f aca="false">IF(C15="","—",IF(D15&gt;=1,"✅ Đạt mục tiêu",IF(D15&gt;=0.7,"⚡ Gần đạt","⚠️ Cần tăng tốc")))</f>
        <v>—</v>
      </c>
    </row>
    <row r="17" customFormat="false" ht="36" hidden="false" customHeight="true" outlineLevel="0" collapsed="false">
      <c r="A17" s="31" t="s">
        <v>62</v>
      </c>
      <c r="B17" s="31"/>
      <c r="C17" s="32" t="n">
        <f aca="false">ROUND((IFERROR(MIN(C5/B5,1),0)+IFERROR(MIN(C6/B6,1),0)+IFERROR(MIN(C7/B7,1),0)+IFERROR(MIN(C8/B8,1),0)+IFERROR(MIN(C10/B10,1),0)+IFERROR(MIN(C11/B11,1),0)+IFERROR(MIN(C12/B12,1),0)+IFERROR(MIN(C14/B14,1),0))/8*100,0)</f>
        <v>0</v>
      </c>
      <c r="D17" s="32"/>
      <c r="E17" s="33" t="str">
        <f aca="false">IF(C3="","Chưa nhập số liệu",IF(C17&gt;=85,"🔥 Tuyệt hảo! Vận hành đỉnh Meta — sẵn sàng bùng nổ doanh số!",IF(C17&gt;=50,"⚡ Khá tốt! Cần đẩy thêm Reels và chốt thêm gói phễu.","⚠️ Tốc độ chậm. Ưu tiên hoàn thành checklist Meta trước!")))</f>
        <v>⚠️ Tốc độ chậm. Ưu tiên hoàn thành checklist Meta trước!</v>
      </c>
    </row>
  </sheetData>
  <mergeCells count="7">
    <mergeCell ref="A1:F1"/>
    <mergeCell ref="A2:F2"/>
    <mergeCell ref="A4:F4"/>
    <mergeCell ref="A9:F9"/>
    <mergeCell ref="A13:F13"/>
    <mergeCell ref="A17:B17"/>
    <mergeCell ref="C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20"/>
    <col collapsed="false" customWidth="true" hidden="false" outlineLevel="0" max="6" min="6" style="1" width="4"/>
  </cols>
  <sheetData>
    <row r="1" customFormat="false" ht="49.5" hidden="false" customHeight="true" outlineLevel="0" collapsed="false">
      <c r="A1" s="2" t="s">
        <v>63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4" t="s">
        <v>64</v>
      </c>
      <c r="B2" s="34"/>
      <c r="C2" s="34"/>
      <c r="D2" s="34"/>
      <c r="E2" s="34"/>
      <c r="F2" s="34"/>
    </row>
    <row r="4" customFormat="false" ht="19.5" hidden="false" customHeight="true" outlineLevel="0" collapsed="false">
      <c r="A4" s="35" t="s">
        <v>65</v>
      </c>
      <c r="B4" s="35" t="s">
        <v>66</v>
      </c>
      <c r="C4" s="35" t="s">
        <v>67</v>
      </c>
      <c r="D4" s="35" t="s">
        <v>68</v>
      </c>
    </row>
    <row r="5" customFormat="false" ht="31.5" hidden="false" customHeight="true" outlineLevel="0" collapsed="false">
      <c r="A5" s="36" t="s">
        <v>69</v>
      </c>
      <c r="B5" s="37" t="s">
        <v>70</v>
      </c>
      <c r="C5" s="38" t="s">
        <v>71</v>
      </c>
      <c r="D5" s="39" t="s">
        <v>72</v>
      </c>
    </row>
    <row r="6" customFormat="false" ht="18" hidden="false" customHeight="true" outlineLevel="0" collapsed="false">
      <c r="A6" s="40"/>
      <c r="B6" s="41"/>
      <c r="C6" s="42"/>
      <c r="D6" s="43"/>
    </row>
    <row r="8" customFormat="false" ht="15" hidden="false" customHeight="true" outlineLevel="0" collapsed="false">
      <c r="A8" s="44" t="s">
        <v>73</v>
      </c>
      <c r="B8" s="44"/>
      <c r="C8" s="44"/>
      <c r="D8" s="44"/>
      <c r="E8" s="44"/>
    </row>
    <row r="9" customFormat="false" ht="18" hidden="false" customHeight="true" outlineLevel="0" collapsed="false">
      <c r="A9" s="45" t="s">
        <v>74</v>
      </c>
      <c r="B9" s="46" t="s">
        <v>75</v>
      </c>
      <c r="C9" s="47" t="s">
        <v>76</v>
      </c>
      <c r="D9" s="48" t="s">
        <v>77</v>
      </c>
    </row>
    <row r="10" customFormat="false" ht="27.75" hidden="false" customHeight="true" outlineLevel="0" collapsed="false">
      <c r="A10" s="49" t="s">
        <v>78</v>
      </c>
      <c r="B10" s="50" t="s">
        <v>79</v>
      </c>
      <c r="C10" s="51" t="s">
        <v>80</v>
      </c>
      <c r="D10" s="52" t="s">
        <v>81</v>
      </c>
    </row>
    <row r="11" customFormat="false" ht="36" hidden="false" customHeight="true" outlineLevel="0" collapsed="false">
      <c r="A11" s="53" t="s">
        <v>82</v>
      </c>
      <c r="B11" s="54" t="s">
        <v>83</v>
      </c>
      <c r="C11" s="55" t="s">
        <v>84</v>
      </c>
      <c r="D11" s="56" t="s">
        <v>85</v>
      </c>
    </row>
    <row r="14" customFormat="false" ht="15" hidden="false" customHeight="true" outlineLevel="0" collapsed="false">
      <c r="A14" s="57" t="s">
        <v>86</v>
      </c>
      <c r="B14" s="57"/>
      <c r="C14" s="57"/>
      <c r="D14" s="57"/>
      <c r="E14" s="57"/>
    </row>
    <row r="15" customFormat="false" ht="19.5" hidden="false" customHeight="true" outlineLevel="0" collapsed="false">
      <c r="A15" s="58" t="s">
        <v>87</v>
      </c>
      <c r="B15" s="58" t="s">
        <v>88</v>
      </c>
      <c r="C15" s="59" t="s">
        <v>89</v>
      </c>
      <c r="D15" s="60" t="s">
        <v>90</v>
      </c>
    </row>
    <row r="16" customFormat="false" ht="19.5" hidden="false" customHeight="true" outlineLevel="0" collapsed="false">
      <c r="A16" s="61" t="s">
        <v>91</v>
      </c>
      <c r="B16" s="61" t="s">
        <v>92</v>
      </c>
      <c r="C16" s="62" t="s">
        <v>93</v>
      </c>
      <c r="D16" s="63" t="s">
        <v>94</v>
      </c>
    </row>
    <row r="17" customFormat="false" ht="42" hidden="false" customHeight="true" outlineLevel="0" collapsed="false">
      <c r="A17" s="64" t="s">
        <v>95</v>
      </c>
      <c r="B17" s="64" t="s">
        <v>96</v>
      </c>
      <c r="C17" s="65" t="s">
        <v>97</v>
      </c>
      <c r="D17" s="66" t="s">
        <v>98</v>
      </c>
    </row>
    <row r="18" customFormat="false" ht="19.5" hidden="false" customHeight="true" outlineLevel="0" collapsed="false">
      <c r="A18" s="67"/>
      <c r="B18" s="67"/>
      <c r="C18" s="68"/>
      <c r="D18" s="69"/>
    </row>
    <row r="19" customFormat="false" ht="7.5" hidden="false" customHeight="true" outlineLevel="0" collapsed="false"/>
    <row r="20" customFormat="false" ht="15" hidden="false" customHeight="false" outlineLevel="0" collapsed="false">
      <c r="A20" s="70" t="s">
        <v>99</v>
      </c>
      <c r="B20" s="70"/>
      <c r="C20" s="70"/>
      <c r="D20" s="70"/>
    </row>
    <row r="21" customFormat="false" ht="15" hidden="false" customHeight="false" outlineLevel="0" collapsed="false">
      <c r="A21" s="71" t="s">
        <v>100</v>
      </c>
      <c r="B21" s="71" t="s">
        <v>101</v>
      </c>
      <c r="C21" s="71" t="s">
        <v>102</v>
      </c>
      <c r="D21" s="71" t="s">
        <v>103</v>
      </c>
    </row>
    <row r="22" customFormat="false" ht="15" hidden="false" customHeight="false" outlineLevel="0" collapsed="false">
      <c r="A22" s="72" t="n">
        <v>150000000</v>
      </c>
      <c r="B22" s="72" t="n">
        <v>50</v>
      </c>
      <c r="C22" s="72" t="n">
        <v>250</v>
      </c>
      <c r="D22" s="72" t="n">
        <v>15000000</v>
      </c>
    </row>
  </sheetData>
  <mergeCells count="5">
    <mergeCell ref="A1:F1"/>
    <mergeCell ref="A2:F2"/>
    <mergeCell ref="A8:E8"/>
    <mergeCell ref="A14:E14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30" hidden="false" customHeight="true" outlineLevel="0" collapsed="false">
      <c r="A1" s="73" t="s">
        <v>104</v>
      </c>
      <c r="B1" s="73"/>
      <c r="C1" s="73"/>
      <c r="D1" s="73"/>
      <c r="E1" s="73"/>
      <c r="F1" s="73"/>
    </row>
    <row r="2" customFormat="false" ht="18" hidden="false" customHeight="true" outlineLevel="0" collapsed="false">
      <c r="A2" s="74" t="s">
        <v>105</v>
      </c>
      <c r="B2" s="74"/>
      <c r="C2" s="74"/>
      <c r="D2" s="74"/>
      <c r="E2" s="74"/>
      <c r="F2" s="74"/>
    </row>
    <row r="3" customFormat="false" ht="21.75" hidden="false" customHeight="true" outlineLevel="0" collapsed="false">
      <c r="A3" s="75" t="s">
        <v>106</v>
      </c>
      <c r="B3" s="75" t="s">
        <v>107</v>
      </c>
      <c r="C3" s="75" t="s">
        <v>108</v>
      </c>
      <c r="D3" s="75" t="s">
        <v>109</v>
      </c>
      <c r="E3" s="75" t="s">
        <v>110</v>
      </c>
      <c r="F3" s="75" t="s">
        <v>111</v>
      </c>
    </row>
    <row r="4" customFormat="false" ht="19.5" hidden="false" customHeight="true" outlineLevel="0" collapsed="false">
      <c r="A4" s="76" t="s">
        <v>112</v>
      </c>
      <c r="B4" s="76"/>
      <c r="C4" s="76"/>
      <c r="D4" s="76"/>
      <c r="E4" s="76"/>
      <c r="F4" s="76"/>
    </row>
    <row r="5" customFormat="false" ht="30" hidden="false" customHeight="true" outlineLevel="0" collapsed="false">
      <c r="A5" s="77" t="s">
        <v>113</v>
      </c>
      <c r="B5" s="78" t="s">
        <v>114</v>
      </c>
      <c r="C5" s="78" t="s">
        <v>115</v>
      </c>
      <c r="D5" s="79" t="s">
        <v>116</v>
      </c>
      <c r="E5" s="80" t="s">
        <v>117</v>
      </c>
      <c r="F5" s="81"/>
    </row>
    <row r="6" customFormat="false" ht="30" hidden="false" customHeight="true" outlineLevel="0" collapsed="false">
      <c r="A6" s="82" t="s">
        <v>118</v>
      </c>
      <c r="B6" s="83" t="s">
        <v>119</v>
      </c>
      <c r="C6" s="83" t="s">
        <v>120</v>
      </c>
      <c r="D6" s="84" t="s">
        <v>116</v>
      </c>
      <c r="E6" s="85" t="s">
        <v>117</v>
      </c>
      <c r="F6" s="81"/>
    </row>
    <row r="7" customFormat="false" ht="30" hidden="false" customHeight="true" outlineLevel="0" collapsed="false">
      <c r="A7" s="77" t="s">
        <v>121</v>
      </c>
      <c r="B7" s="78" t="s">
        <v>122</v>
      </c>
      <c r="C7" s="78" t="s">
        <v>123</v>
      </c>
      <c r="D7" s="86" t="s">
        <v>124</v>
      </c>
      <c r="E7" s="80" t="s">
        <v>117</v>
      </c>
      <c r="F7" s="81"/>
    </row>
    <row r="8" customFormat="false" ht="30" hidden="false" customHeight="true" outlineLevel="0" collapsed="false">
      <c r="A8" s="82" t="s">
        <v>125</v>
      </c>
      <c r="B8" s="83" t="s">
        <v>126</v>
      </c>
      <c r="C8" s="83" t="s">
        <v>127</v>
      </c>
      <c r="D8" s="87" t="s">
        <v>128</v>
      </c>
      <c r="E8" s="85" t="s">
        <v>129</v>
      </c>
      <c r="F8" s="81"/>
    </row>
    <row r="9" customFormat="false" ht="30" hidden="false" customHeight="true" outlineLevel="0" collapsed="false">
      <c r="A9" s="77" t="s">
        <v>130</v>
      </c>
      <c r="B9" s="78" t="s">
        <v>131</v>
      </c>
      <c r="C9" s="78" t="s">
        <v>132</v>
      </c>
      <c r="D9" s="88" t="s">
        <v>128</v>
      </c>
      <c r="E9" s="80" t="s">
        <v>117</v>
      </c>
      <c r="F9" s="81"/>
    </row>
    <row r="10" customFormat="false" ht="19.5" hidden="false" customHeight="true" outlineLevel="0" collapsed="false">
      <c r="A10" s="76" t="s">
        <v>133</v>
      </c>
      <c r="B10" s="76"/>
      <c r="C10" s="76"/>
      <c r="D10" s="76"/>
      <c r="E10" s="76"/>
      <c r="F10" s="76"/>
    </row>
    <row r="11" customFormat="false" ht="30" hidden="false" customHeight="true" outlineLevel="0" collapsed="false">
      <c r="A11" s="77" t="s">
        <v>134</v>
      </c>
      <c r="B11" s="78" t="s">
        <v>135</v>
      </c>
      <c r="C11" s="78" t="s">
        <v>136</v>
      </c>
      <c r="D11" s="79" t="s">
        <v>116</v>
      </c>
      <c r="E11" s="80" t="s">
        <v>117</v>
      </c>
      <c r="F11" s="81"/>
    </row>
    <row r="12" customFormat="false" ht="30" hidden="false" customHeight="true" outlineLevel="0" collapsed="false">
      <c r="A12" s="82" t="s">
        <v>137</v>
      </c>
      <c r="B12" s="83" t="s">
        <v>138</v>
      </c>
      <c r="C12" s="83" t="s">
        <v>139</v>
      </c>
      <c r="D12" s="87" t="s">
        <v>128</v>
      </c>
      <c r="E12" s="85" t="s">
        <v>140</v>
      </c>
      <c r="F12" s="81"/>
    </row>
    <row r="13" customFormat="false" ht="30" hidden="false" customHeight="true" outlineLevel="0" collapsed="false">
      <c r="A13" s="77" t="s">
        <v>141</v>
      </c>
      <c r="B13" s="78" t="s">
        <v>142</v>
      </c>
      <c r="C13" s="78" t="s">
        <v>143</v>
      </c>
      <c r="D13" s="79" t="s">
        <v>116</v>
      </c>
      <c r="E13" s="80" t="s">
        <v>140</v>
      </c>
      <c r="F13" s="81"/>
    </row>
    <row r="14" customFormat="false" ht="19.5" hidden="false" customHeight="true" outlineLevel="0" collapsed="false">
      <c r="A14" s="89" t="s">
        <v>144</v>
      </c>
      <c r="B14" s="89"/>
      <c r="C14" s="89"/>
      <c r="D14" s="89"/>
      <c r="E14" s="89"/>
      <c r="F14" s="89"/>
    </row>
    <row r="15" customFormat="false" ht="30" hidden="false" customHeight="true" outlineLevel="0" collapsed="false">
      <c r="A15" s="77" t="s">
        <v>145</v>
      </c>
      <c r="B15" s="78" t="s">
        <v>146</v>
      </c>
      <c r="C15" s="78" t="s">
        <v>147</v>
      </c>
      <c r="D15" s="86" t="s">
        <v>124</v>
      </c>
      <c r="E15" s="80" t="s">
        <v>117</v>
      </c>
      <c r="F15" s="81"/>
    </row>
    <row r="16" customFormat="false" ht="30" hidden="false" customHeight="true" outlineLevel="0" collapsed="false">
      <c r="A16" s="82" t="s">
        <v>148</v>
      </c>
      <c r="B16" s="83" t="s">
        <v>149</v>
      </c>
      <c r="C16" s="83" t="s">
        <v>150</v>
      </c>
      <c r="D16" s="90" t="s">
        <v>124</v>
      </c>
      <c r="E16" s="85" t="s">
        <v>140</v>
      </c>
      <c r="F16" s="81"/>
    </row>
    <row r="17" customFormat="false" ht="30" hidden="false" customHeight="true" outlineLevel="0" collapsed="false">
      <c r="A17" s="77" t="s">
        <v>151</v>
      </c>
      <c r="B17" s="78" t="s">
        <v>152</v>
      </c>
      <c r="C17" s="78" t="s">
        <v>153</v>
      </c>
      <c r="D17" s="86" t="s">
        <v>124</v>
      </c>
      <c r="E17" s="80" t="s">
        <v>117</v>
      </c>
      <c r="F17" s="81"/>
    </row>
    <row r="18" customFormat="false" ht="19.5" hidden="false" customHeight="true" outlineLevel="0" collapsed="false">
      <c r="A18" s="76" t="s">
        <v>154</v>
      </c>
      <c r="B18" s="76"/>
      <c r="C18" s="76"/>
      <c r="D18" s="76"/>
      <c r="E18" s="76"/>
      <c r="F18" s="76"/>
    </row>
    <row r="19" customFormat="false" ht="30" hidden="false" customHeight="true" outlineLevel="0" collapsed="false">
      <c r="A19" s="77" t="s">
        <v>155</v>
      </c>
      <c r="B19" s="78" t="s">
        <v>156</v>
      </c>
      <c r="C19" s="78" t="s">
        <v>157</v>
      </c>
      <c r="D19" s="88" t="s">
        <v>128</v>
      </c>
      <c r="E19" s="80" t="s">
        <v>129</v>
      </c>
      <c r="F19" s="81"/>
    </row>
    <row r="20" customFormat="false" ht="30" hidden="false" customHeight="true" outlineLevel="0" collapsed="false">
      <c r="A20" s="82" t="s">
        <v>158</v>
      </c>
      <c r="B20" s="83" t="s">
        <v>159</v>
      </c>
      <c r="C20" s="83" t="s">
        <v>160</v>
      </c>
      <c r="D20" s="87" t="s">
        <v>128</v>
      </c>
      <c r="E20" s="85" t="s">
        <v>129</v>
      </c>
      <c r="F20" s="81"/>
    </row>
    <row r="21" customFormat="false" ht="30" hidden="false" customHeight="true" outlineLevel="0" collapsed="false">
      <c r="A21" s="77" t="s">
        <v>161</v>
      </c>
      <c r="B21" s="78" t="s">
        <v>162</v>
      </c>
      <c r="C21" s="78" t="s">
        <v>163</v>
      </c>
      <c r="D21" s="88" t="s">
        <v>128</v>
      </c>
      <c r="E21" s="80" t="s">
        <v>117</v>
      </c>
      <c r="F21" s="81"/>
    </row>
    <row r="22" customFormat="false" ht="19.5" hidden="false" customHeight="true" outlineLevel="0" collapsed="false">
      <c r="A22" s="76" t="s">
        <v>164</v>
      </c>
      <c r="B22" s="76"/>
      <c r="C22" s="76"/>
      <c r="D22" s="76"/>
      <c r="E22" s="76"/>
      <c r="F22" s="76"/>
    </row>
    <row r="23" customFormat="false" ht="30" hidden="false" customHeight="true" outlineLevel="0" collapsed="false">
      <c r="A23" s="77" t="s">
        <v>165</v>
      </c>
      <c r="B23" s="78" t="s">
        <v>166</v>
      </c>
      <c r="C23" s="78" t="s">
        <v>167</v>
      </c>
      <c r="D23" s="79" t="s">
        <v>168</v>
      </c>
      <c r="E23" s="80" t="s">
        <v>140</v>
      </c>
      <c r="F23" s="81"/>
    </row>
    <row r="24" customFormat="false" ht="30" hidden="false" customHeight="true" outlineLevel="0" collapsed="false">
      <c r="A24" s="82" t="s">
        <v>169</v>
      </c>
      <c r="B24" s="83" t="s">
        <v>170</v>
      </c>
      <c r="C24" s="83" t="s">
        <v>171</v>
      </c>
      <c r="D24" s="84" t="s">
        <v>116</v>
      </c>
      <c r="E24" s="85" t="s">
        <v>117</v>
      </c>
      <c r="F24" s="81"/>
    </row>
    <row r="25" customFormat="false" ht="30" hidden="false" customHeight="true" outlineLevel="0" collapsed="false">
      <c r="A25" s="77" t="s">
        <v>172</v>
      </c>
      <c r="B25" s="78" t="s">
        <v>173</v>
      </c>
      <c r="C25" s="78" t="s">
        <v>174</v>
      </c>
      <c r="D25" s="88" t="s">
        <v>128</v>
      </c>
      <c r="E25" s="80" t="s">
        <v>117</v>
      </c>
      <c r="F25" s="81"/>
    </row>
    <row r="26" customFormat="false" ht="30" hidden="false" customHeight="true" outlineLevel="0" collapsed="false">
      <c r="A26" s="82" t="s">
        <v>175</v>
      </c>
      <c r="B26" s="83" t="s">
        <v>176</v>
      </c>
      <c r="C26" s="83" t="s">
        <v>177</v>
      </c>
      <c r="D26" s="87" t="s">
        <v>128</v>
      </c>
      <c r="E26" s="85" t="s">
        <v>117</v>
      </c>
      <c r="F26" s="81"/>
    </row>
    <row r="27" customFormat="false" ht="7.5" hidden="false" customHeight="true" outlineLevel="0" collapsed="false"/>
    <row r="28" customFormat="false" ht="15" hidden="false" customHeight="false" outlineLevel="0" collapsed="false">
      <c r="A28" s="74" t="s">
        <v>178</v>
      </c>
      <c r="B28" s="74"/>
      <c r="C28" s="74"/>
      <c r="D28" s="74"/>
      <c r="E28" s="74"/>
      <c r="F28" s="74"/>
    </row>
  </sheetData>
  <mergeCells count="8">
    <mergeCell ref="A1:F1"/>
    <mergeCell ref="A2:F2"/>
    <mergeCell ref="A4:F4"/>
    <mergeCell ref="A10:F10"/>
    <mergeCell ref="A14:F14"/>
    <mergeCell ref="A18:F18"/>
    <mergeCell ref="A22:F22"/>
    <mergeCell ref="A28:F28"/>
  </mergeCells>
  <dataValidations count="1">
    <dataValidation allowBlank="true" errorStyle="stop" operator="between" prompt="Chọn quyết định cho tính năng này" promptTitle="Quyết Định" showDropDown="false" showErrorMessage="false" showInputMessage="false" sqref="F5:F9 F11:F13 F15:F17 F19:F21 F23:F26" type="list">
      <formula1>"✅ Giữ,🙈 Ẩn,⚡ Đơn giản hóa"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2026-05-27T02:49:18Z</dcterms:created>
  <dc:creator>openpyxl</dc:creator>
  <dc:description/>
  <dc:language>en-US</dc:language>
  <cp:lastModifiedBy/>
  <dcterms:modified xsi:type="dcterms:W3CDTF">2026-05-27T03:15:59Z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